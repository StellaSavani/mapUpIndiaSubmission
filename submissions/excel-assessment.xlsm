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nisha.savani\Downloads\"/>
    </mc:Choice>
  </mc:AlternateContent>
  <xr:revisionPtr revIDLastSave="0" documentId="13_ncr:1_{789DBA62-124D-4EED-949E-C06FEB404697}" xr6:coauthVersionLast="47" xr6:coauthVersionMax="47" xr10:uidLastSave="{00000000-0000-0000-0000-000000000000}"/>
  <bookViews>
    <workbookView xWindow="28680" yWindow="-120" windowWidth="29040" windowHeight="157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18" l="1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19" l="1" a="1"/>
  <c r="C22" i="19" s="1"/>
  <c r="B54" i="16" a="1"/>
  <c r="B54" i="16" s="1"/>
  <c r="B53" i="16" a="1"/>
  <c r="B53" i="16" s="1"/>
  <c r="B52" i="16" a="1"/>
  <c r="B52" i="16" s="1"/>
  <c r="B51" i="16" a="1"/>
  <c r="B51" i="16" s="1"/>
  <c r="B50" i="16" a="1"/>
  <c r="B50" i="16" s="1"/>
  <c r="B49" i="16" a="1"/>
  <c r="B49" i="16" s="1"/>
  <c r="B48" i="16" a="1"/>
  <c r="B48" i="16" s="1"/>
  <c r="B47" i="16" a="1"/>
  <c r="B47" i="16" s="1"/>
  <c r="B46" i="16" a="1"/>
  <c r="B46" i="16" s="1"/>
  <c r="B45" i="16" a="1"/>
  <c r="B45" i="16" s="1"/>
  <c r="B44" i="16" a="1"/>
  <c r="B44" i="16" s="1"/>
  <c r="B43" i="16" a="1"/>
  <c r="B43" i="16" s="1"/>
  <c r="B42" i="16" a="1"/>
  <c r="B42" i="16" s="1"/>
  <c r="B41" i="16" a="1"/>
  <c r="B41" i="16" s="1"/>
  <c r="B40" i="16" a="1"/>
  <c r="B40" i="16" s="1"/>
  <c r="B39" i="16" a="1"/>
  <c r="B39" i="16" s="1"/>
  <c r="B38" i="16" a="1"/>
  <c r="B38" i="16" s="1"/>
  <c r="B37" i="16" a="1"/>
  <c r="B37" i="16" s="1"/>
  <c r="B36" i="16" a="1"/>
  <c r="B36" i="16" s="1"/>
  <c r="B35" i="16" a="1"/>
  <c r="B35" i="16" s="1"/>
  <c r="B34" i="16" a="1"/>
  <c r="B34" i="16" s="1"/>
  <c r="B33" i="16" a="1"/>
  <c r="B33" i="16" s="1"/>
  <c r="B32" i="16" a="1"/>
  <c r="B32" i="16" s="1"/>
  <c r="B31" i="16" a="1"/>
  <c r="B31" i="16" s="1"/>
  <c r="B30" i="16" a="1"/>
  <c r="B30" i="16" s="1"/>
  <c r="B29" i="16" a="1"/>
  <c r="B29" i="16" s="1"/>
  <c r="B28" i="16" a="1"/>
  <c r="B28" i="16" s="1"/>
  <c r="B27" i="16" a="1"/>
  <c r="B27" i="16" s="1"/>
  <c r="B26" i="16" a="1"/>
  <c r="B26" i="16" s="1"/>
  <c r="B25" i="16" a="1"/>
  <c r="B25" i="16" s="1"/>
  <c r="B24" i="16" a="1"/>
  <c r="B24" i="16" s="1"/>
  <c r="B23" i="16" a="1"/>
  <c r="B23" i="16" s="1"/>
  <c r="B22" i="16" a="1"/>
  <c r="B22" i="16" s="1"/>
  <c r="B21" i="16" a="1"/>
  <c r="B21" i="16" s="1"/>
  <c r="B20" i="16" a="1"/>
  <c r="B20" i="16" s="1"/>
  <c r="B19" i="16" a="1"/>
  <c r="B19" i="16" s="1"/>
  <c r="B18" i="16" a="1"/>
  <c r="B18" i="16" s="1"/>
  <c r="B17" i="16" a="1"/>
  <c r="B17" i="16" s="1"/>
  <c r="B16" i="16" a="1"/>
  <c r="B16" i="16" s="1"/>
  <c r="F27" i="18"/>
  <c r="E27" i="18"/>
  <c r="D27" i="18"/>
  <c r="C27" i="18"/>
  <c r="B27" i="18"/>
  <c r="F26" i="18"/>
  <c r="E26" i="18"/>
  <c r="D26" i="18"/>
  <c r="C26" i="18"/>
  <c r="B26" i="18"/>
  <c r="F25" i="18"/>
  <c r="E25" i="18"/>
  <c r="D25" i="18"/>
  <c r="C25" i="18"/>
  <c r="B25" i="18"/>
  <c r="F24" i="18"/>
  <c r="E24" i="18"/>
  <c r="D24" i="18"/>
  <c r="C24" i="18"/>
  <c r="B24" i="18"/>
  <c r="F23" i="18"/>
  <c r="E23" i="18"/>
  <c r="D23" i="18"/>
  <c r="C23" i="18"/>
  <c r="B23" i="18"/>
  <c r="F22" i="18"/>
  <c r="E22" i="18"/>
  <c r="D22" i="18"/>
  <c r="C22" i="18"/>
  <c r="B22" i="18"/>
  <c r="F21" i="18"/>
  <c r="E21" i="18"/>
  <c r="D21" i="18"/>
  <c r="C21" i="18"/>
  <c r="B21" i="18"/>
  <c r="F20" i="18"/>
  <c r="E20" i="18"/>
  <c r="D20" i="18"/>
  <c r="C20" i="18"/>
  <c r="B20" i="18"/>
  <c r="F19" i="18"/>
  <c r="E19" i="18"/>
  <c r="D19" i="18"/>
  <c r="C19" i="18"/>
  <c r="B19" i="18"/>
  <c r="F18" i="18"/>
  <c r="E18" i="18"/>
  <c r="D18" i="18"/>
  <c r="C18" i="18"/>
  <c r="B18" i="18"/>
  <c r="F17" i="18"/>
  <c r="E17" i="18"/>
  <c r="D17" i="18"/>
  <c r="C17" i="18"/>
  <c r="B17" i="18"/>
  <c r="F16" i="18"/>
  <c r="E16" i="18"/>
  <c r="D16" i="18"/>
  <c r="C16" i="18"/>
  <c r="B16" i="18"/>
  <c r="F15" i="18"/>
  <c r="E15" i="18"/>
  <c r="D15" i="18"/>
  <c r="C15" i="18"/>
  <c r="B15" i="18"/>
  <c r="F14" i="18"/>
  <c r="E14" i="18"/>
  <c r="D14" i="18"/>
  <c r="C14" i="18"/>
  <c r="B14" i="18"/>
  <c r="F13" i="18"/>
  <c r="E13" i="18"/>
  <c r="D13" i="18"/>
  <c r="C13" i="18"/>
  <c r="B13" i="18"/>
  <c r="F12" i="18"/>
  <c r="E12" i="18"/>
  <c r="D12" i="18"/>
  <c r="C12" i="18"/>
  <c r="B12" i="18"/>
  <c r="F11" i="18"/>
  <c r="E11" i="18"/>
  <c r="D11" i="18"/>
  <c r="C11" i="18"/>
  <c r="B11" i="18"/>
  <c r="F10" i="18"/>
  <c r="E10" i="18"/>
  <c r="D10" i="18"/>
  <c r="C10" i="18"/>
  <c r="B10" i="18"/>
  <c r="F9" i="18"/>
  <c r="E9" i="18"/>
  <c r="D9" i="18"/>
  <c r="C9" i="18"/>
  <c r="B9" i="18"/>
  <c r="F8" i="18"/>
  <c r="E8" i="18"/>
  <c r="D8" i="18"/>
  <c r="C8" i="18"/>
  <c r="B8" i="18"/>
  <c r="F7" i="18"/>
  <c r="E7" i="18"/>
  <c r="D7" i="18"/>
  <c r="C7" i="18"/>
  <c r="B7" i="18"/>
  <c r="F6" i="18"/>
  <c r="E6" i="18"/>
  <c r="D6" i="18"/>
  <c r="C6" i="18"/>
  <c r="B6" i="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<sst xmlns="http://schemas.openxmlformats.org/spreadsheetml/2006/main" count="331" uniqueCount="186">
  <si>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</si>
  <si>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</si>
  <si>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</si>
  <si>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</si>
  <si>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</si>
  <si>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</si>
  <si>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</si>
  <si>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</si>
  <si>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</si>
  <si>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</si>
  <si>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</si>
  <si>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</si>
  <si>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</si>
  <si>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</si>
  <si>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</si>
  <si>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</si>
  <si>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</si>
  <si>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</si>
  <si>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</si>
  <si>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</si>
  <si>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</si>
  <si>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</si>
  <si>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</si>
  <si>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</si>
  <si>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</si>
  <si>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</si>
  <si>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</si>
  <si>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</si>
  <si>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</si>
  <si>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</si>
  <si>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</si>
  <si>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</si>
  <si>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</si>
  <si>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</si>
  <si>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</si>
  <si>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</si>
  <si>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</si>
  <si>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</si>
  <si>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</si>
  <si>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</si>
  <si>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</si>
  <si>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</si>
  <si>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</si>
  <si>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</si>
  <si>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</si>
  <si>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</si>
  <si>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</si>
  <si>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</si>
  <si>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</si>
  <si>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</si>
  <si>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</si>
  <si>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</si>
  <si>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</si>
  <si>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</si>
  <si>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</si>
  <si>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</si>
  <si>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</si>
  <si>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</si>
  <si>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</si>
  <si>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</si>
  <si>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</si>
  <si>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</si>
  <si>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</si>
  <si>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</si>
  <si>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</si>
  <si>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</si>
  <si>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</si>
  <si>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</si>
  <si>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</si>
  <si>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</si>
  <si>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</si>
  <si>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</si>
  <si>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</si>
  <si>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</si>
  <si>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</si>
  <si>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</si>
  <si>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</si>
  <si>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</si>
  <si>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</si>
  <si>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</si>
  <si>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</si>
  <si>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</si>
  <si>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</si>
  <si>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</si>
  <si>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</si>
  <si>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</si>
  <si>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</si>
  <si>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</si>
  <si>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</si>
  <si>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</si>
  <si>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</si>
  <si>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</si>
  <si>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</si>
  <si>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</si>
  <si>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</si>
  <si>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</si>
  <si>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</si>
  <si>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</si>
  <si>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</si>
  <si>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</si>
  <si>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</si>
  <si>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</si>
  <si>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</si>
  <si>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</si>
  <si>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</si>
  <si>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</si>
  <si>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</si>
  <si>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</si>
  <si>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</si>
  <si>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</si>
  <si>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</si>
  <si>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</si>
  <si>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</si>
  <si>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</si>
  <si>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</si>
  <si>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</si>
  <si>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</si>
  <si>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</si>
  <si>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</si>
  <si>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</si>
  <si>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</si>
  <si>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</si>
  <si>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</si>
  <si>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</si>
  <si>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</si>
  <si>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</si>
  <si>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</si>
  <si>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</si>
  <si>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</si>
  <si>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</si>
  <si>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</si>
  <si>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</si>
  <si>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</si>
  <si>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</si>
  <si>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</si>
  <si>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</si>
  <si>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</si>
  <si>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</si>
  <si>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</si>
  <si>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</si>
  <si>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</si>
  <si>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</si>
  <si>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</si>
  <si>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</si>
  <si>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</si>
  <si>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</si>
  <si>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</si>
  <si>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</si>
  <si>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</si>
  <si>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</si>
  <si>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</si>
  <si>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</si>
  <si>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</si>
  <si>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</si>
  <si>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</si>
  <si>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</si>
  <si>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</si>
  <si>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</si>
  <si>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</si>
  <si>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</si>
  <si>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</si>
  <si>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</si>
  <si>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</si>
  <si>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</si>
  <si>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</si>
  <si>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</si>
  <si>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</si>
  <si>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</si>
  <si>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</si>
  <si>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</si>
  <si>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</si>
  <si>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</si>
  <si>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</si>
  <si>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</si>
  <si>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</si>
  <si>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</si>
  <si>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</si>
  <si>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SUMIF(H2:H40,"&gt;20",H2:H40)</t>
  </si>
  <si>
    <t>TEXTSPLIT(A16,"-")</t>
  </si>
  <si>
    <t>SUM(IF(ISNA(C12:C21),20,C12:C21))</t>
  </si>
  <si>
    <t>INDEX($A$9:$J$18,MATCH(VLOOKUP($A23,$M$9:$N$18,2,0),$A$9:$A$18,0),MATCH(VLOOKUP($B23,$M$9:$N$18,2,0),$A$9:$J$9,0))</t>
  </si>
  <si>
    <r>
      <t xml:space="preserve">As the values column have same seperator "-" we can use </t>
    </r>
    <r>
      <rPr>
        <b/>
        <sz val="14"/>
        <color rgb="FF000000"/>
        <rFont val="Calibri"/>
        <family val="2"/>
        <scheme val="minor"/>
      </rPr>
      <t>"TEXTSPLIT"</t>
    </r>
    <r>
      <rPr>
        <sz val="14"/>
        <color rgb="FF000000"/>
        <rFont val="Calibri"/>
        <family val="2"/>
        <scheme val="minor"/>
      </rPr>
      <t xml:space="preserve"> formua for seperation.</t>
    </r>
  </si>
  <si>
    <r>
      <t xml:space="preserve">We can also use </t>
    </r>
    <r>
      <rPr>
        <b/>
        <sz val="14"/>
        <color rgb="FF000000"/>
        <rFont val="Calibri"/>
        <family val="2"/>
        <scheme val="minor"/>
      </rPr>
      <t>"text to colum"</t>
    </r>
    <r>
      <rPr>
        <sz val="14"/>
        <color rgb="FF000000"/>
        <rFont val="Calibri"/>
        <family val="2"/>
        <scheme val="minor"/>
      </rPr>
      <t xml:space="preserve"> under Data tab.</t>
    </r>
  </si>
  <si>
    <t>Functions used: Vlookup, Match, Index</t>
  </si>
  <si>
    <r>
      <t xml:space="preserve">First replace the #N/A values with 20 using </t>
    </r>
    <r>
      <rPr>
        <b/>
        <sz val="11"/>
        <color rgb="FF000000"/>
        <rFont val="Calibri"/>
        <family val="2"/>
        <scheme val="minor"/>
      </rPr>
      <t>"ISNA"</t>
    </r>
    <r>
      <rPr>
        <sz val="11"/>
        <color rgb="FF000000"/>
        <rFont val="Calibri"/>
        <family val="2"/>
        <scheme val="minor"/>
      </rPr>
      <t xml:space="preserve"> formula and then </t>
    </r>
    <r>
      <rPr>
        <b/>
        <sz val="11"/>
        <color rgb="FF000000"/>
        <rFont val="Calibri"/>
        <family val="2"/>
        <scheme val="minor"/>
      </rPr>
      <t>"SUM"</t>
    </r>
    <r>
      <rPr>
        <sz val="11"/>
        <color rgb="FF000000"/>
        <rFont val="Calibri"/>
        <family val="2"/>
        <scheme val="minor"/>
      </rPr>
      <t xml:space="preserve"> the range applying </t>
    </r>
    <r>
      <rPr>
        <b/>
        <sz val="11"/>
        <color rgb="FF000000"/>
        <rFont val="Calibri"/>
        <family val="2"/>
        <scheme val="minor"/>
      </rPr>
      <t>"IF"</t>
    </r>
    <r>
      <rPr>
        <sz val="11"/>
        <color rgb="FF000000"/>
        <rFont val="Calibri"/>
        <family val="2"/>
        <scheme val="minor"/>
      </rPr>
      <t xml:space="preserve"> condition</t>
    </r>
  </si>
  <si>
    <r>
      <t xml:space="preserve">In this case we have to formulate a combination of formula for which first we need </t>
    </r>
    <r>
      <rPr>
        <b/>
        <sz val="11"/>
        <color rgb="FF000000"/>
        <rFont val="Calibri"/>
        <family val="2"/>
        <scheme val="minor"/>
      </rPr>
      <t>Index</t>
    </r>
    <r>
      <rPr>
        <sz val="11"/>
        <color rgb="FF000000"/>
        <rFont val="Calibri"/>
        <family val="2"/>
        <scheme val="minor"/>
      </rPr>
      <t xml:space="preserve"> formula to match the column and row header in table A, then row number and column number is replaced by </t>
    </r>
    <r>
      <rPr>
        <b/>
        <sz val="11"/>
        <color rgb="FF000000"/>
        <rFont val="Calibri"/>
        <family val="2"/>
        <scheme val="minor"/>
      </rPr>
      <t>Match</t>
    </r>
    <r>
      <rPr>
        <sz val="11"/>
        <color rgb="FF000000"/>
        <rFont val="Calibri"/>
        <family val="2"/>
        <scheme val="minor"/>
      </rPr>
      <t xml:space="preserve"> to get the exact match from the row and column header from table B, now the tabel C contains numeric format and not the alphabets hence to obtain the alphabets the value field is replaced by </t>
    </r>
    <r>
      <rPr>
        <b/>
        <sz val="11"/>
        <color rgb="FF000000"/>
        <rFont val="Calibri"/>
        <family val="2"/>
        <scheme val="minor"/>
      </rPr>
      <t>Vlookup</t>
    </r>
    <r>
      <rPr>
        <sz val="11"/>
        <color rgb="FF000000"/>
        <rFont val="Calibri"/>
        <family val="2"/>
        <scheme val="minor"/>
      </rPr>
      <t xml:space="preserve"> to get the exact match. Once the formula is structured the cell are </t>
    </r>
    <r>
      <rPr>
        <b/>
        <sz val="11"/>
        <color rgb="FF000000"/>
        <rFont val="Calibri"/>
        <family val="2"/>
        <scheme val="minor"/>
      </rPr>
      <t>locked</t>
    </r>
    <r>
      <rPr>
        <sz val="11"/>
        <color rgb="FF000000"/>
        <rFont val="Calibri"/>
        <family val="2"/>
        <scheme val="minor"/>
      </rPr>
      <t xml:space="preserve"> so that the formula can be draged and get values for remaining cell as well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</si>
</sst>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0" fontId="8" fillId="0" borderId="6" xfId="0" applyFont="1" applyBorder="1"/>
    <xf numFmtId="165" fontId="3" fillId="0" borderId="0" xfId="0" applyNumberFormat="1" applyFont="1"/>
    <xf numFmtId="0" fontId="3" fillId="0" borderId="0" xfId="0" applyFont="1" applyBorder="1"/>
    <xf numFmtId="0" fontId="8" fillId="0" borderId="0" xfId="0" applyFont="1" applyBorder="1"/>
    <xf numFmtId="0" fontId="3" fillId="0" borderId="0" xfId="0" applyFont="1" applyAlignment="1">
      <alignment horizontal="left" vertical="top"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2000000}"/>
    <cellStyle name="Normal 2 3" xfId="7" xr:uid="{00000000-0005-0000-0000-000003000000}"/>
    <cellStyle name="Normal 3" xfId="2" xr:uid="{00000000-0005-0000-0000-000004000000}"/>
    <cellStyle name="Normal 3 2" xfId="8" xr:uid="{00000000-0005-0000-0000-000005000000}"/>
    <cellStyle name="Normal 4" xfId="4" xr:uid="{00000000-0005-0000-0000-000006000000}"/>
    <cellStyle name="Normal 5" xfId="5" xr:uid="{00000000-0005-0000-0000-000007000000}"/>
    <cellStyle name="Normal 5 2" xfId="6" xr:uid="{00000000-0005-0000-0000-000008000000}"/>
    <cellStyle name="Normal 5 3" xfId="10" xr:uid="{00000000-0005-0000-0000-000009000000}"/>
    <cellStyle name="Normal 7" xfId="9" xr:uid="{00000000-0005-0000-0000-00000A000000}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9" tint="0.39997558519241921"/>
  </sheetPr>
  <dimension ref="A1:C15"/>
  <sheetViews>
    <sheetView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40"/>
  <sheetViews>
    <sheetView workbookViewId="0">
      <pane ySplit="1" topLeftCell="A2" activePane="bottomLeft" state="frozen"/>
      <selection pane="bottomLeft" activeCell="X2" sqref="X2:X40"/>
    </sheetView>
  </sheetViews>
  <sheetFormatPr defaultColWidth="9" defaultRowHeight="14.5" x14ac:dyDescent="0.35"/>
  <cols>
    <col min="1" max="1" width="25.5" style="1" bestFit="1" customWidth="1"/>
    <col min="2" max="2" width="7.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5" style="1" bestFit="1" customWidth="1"/>
    <col min="19" max="20" width="18.796875" style="1" bestFit="1" customWidth="1"/>
    <col min="21" max="23" width="19" style="1" bestFit="1" customWidth="1"/>
    <col min="24" max="24" width="12.5" style="1" bestFit="1" customWidth="1"/>
    <col min="25" max="16384" width="9" style="1"/>
  </cols>
  <sheetData>
    <row r="1" spans="1:24" s="3" customFormat="1" ht="14.6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4"/>
  <sheetViews>
    <sheetView workbookViewId="0">
      <selection activeCell="C5" sqref="C5"/>
    </sheetView>
  </sheetViews>
  <sheetFormatPr defaultColWidth="11" defaultRowHeight="14.5" x14ac:dyDescent="0.35"/>
  <cols>
    <col min="1" max="1" width="8.5" style="1" bestFit="1" customWidth="1"/>
    <col min="2" max="2" width="65.796875" style="1" bestFit="1" customWidth="1"/>
    <col min="3" max="3" width="27.5" style="1" bestFit="1" customWidth="1"/>
    <col min="4" max="4" width="11" style="1"/>
    <col min="5" max="5" width="14.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30"/>
  <sheetViews>
    <sheetView workbookViewId="0">
      <selection activeCell="C30" sqref="C30"/>
    </sheetView>
  </sheetViews>
  <sheetFormatPr defaultColWidth="11" defaultRowHeight="13" x14ac:dyDescent="0.3"/>
  <cols>
    <col min="1" max="1" width="18.5" style="2" bestFit="1" customWidth="1"/>
    <col min="2" max="6" width="15.5" style="2" customWidth="1"/>
    <col min="7" max="7" width="11" style="2"/>
    <col min="8" max="8" width="14.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164</v>
      </c>
    </row>
    <row r="2" spans="1:7" s="41" customFormat="1" ht="21" x14ac:dyDescent="0.5">
      <c r="B2" s="41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162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_xlfn.XLOOKUP(A6,Dataset!A:A,Dataset!G:G)</f>
        <v>2.7</v>
      </c>
      <c r="C6" s="12">
        <f>_xlfn.XLOOKUP(A6,Dataset!A:A,Dataset!N:N)</f>
        <v>7.6</v>
      </c>
      <c r="D6" s="12">
        <f>_xlfn.XLOOKUP(A6,Dataset!A:A,Dataset!R:R)</f>
        <v>4.2</v>
      </c>
      <c r="E6" s="12">
        <f>_xlfn.XLOOKUP(A6,Dataset!A:A,Dataset!T:T)</f>
        <v>8.9</v>
      </c>
      <c r="F6" s="8">
        <f>_xlfn.XLOOKUP(A6,Dataset!A:A,Dataset!V:V)</f>
        <v>4.2</v>
      </c>
    </row>
    <row r="7" spans="1:7" ht="14.5" x14ac:dyDescent="0.35">
      <c r="A7" s="7" t="s">
        <v>4</v>
      </c>
      <c r="B7" s="12">
        <f>_xlfn.XLOOKUP(A7,Dataset!A:A,Dataset!G:G)</f>
        <v>2.7</v>
      </c>
      <c r="C7" s="12">
        <f>_xlfn.XLOOKUP(A7,Dataset!A:A,Dataset!N:N)</f>
        <v>7.6</v>
      </c>
      <c r="D7" s="12">
        <f>_xlfn.XLOOKUP(A7,Dataset!A:A,Dataset!R:R)</f>
        <v>4.2</v>
      </c>
      <c r="E7" s="12">
        <f>_xlfn.XLOOKUP(A7,Dataset!A:A,Dataset!T:T)</f>
        <v>8.9</v>
      </c>
      <c r="F7" s="8">
        <f>_xlfn.XLOOKUP(A7,Dataset!A:A,Dataset!V:V)</f>
        <v>4.2</v>
      </c>
    </row>
    <row r="8" spans="1:7" ht="14.5" x14ac:dyDescent="0.35">
      <c r="A8" s="7" t="s">
        <v>7</v>
      </c>
      <c r="B8" s="12">
        <f>_xlfn.XLOOKUP(A8,Dataset!A:A,Dataset!G:G)</f>
        <v>3.6</v>
      </c>
      <c r="C8" s="12">
        <f>_xlfn.XLOOKUP(A8,Dataset!A:A,Dataset!N:N)</f>
        <v>11.1</v>
      </c>
      <c r="D8" s="12">
        <f>_xlfn.XLOOKUP(A8,Dataset!A:A,Dataset!R:R)</f>
        <v>5.8</v>
      </c>
      <c r="E8" s="12">
        <f>_xlfn.XLOOKUP(A8,Dataset!A:A,Dataset!T:T)</f>
        <v>12.2</v>
      </c>
      <c r="F8" s="8">
        <f>_xlfn.XLOOKUP(A8,Dataset!A:A,Dataset!V:V)</f>
        <v>5.8</v>
      </c>
    </row>
    <row r="9" spans="1:7" ht="14.5" x14ac:dyDescent="0.35">
      <c r="A9" s="7" t="s">
        <v>8</v>
      </c>
      <c r="B9" s="12">
        <f>_xlfn.XLOOKUP(A9,Dataset!A:A,Dataset!G:G)</f>
        <v>4.9000000000000004</v>
      </c>
      <c r="C9" s="12">
        <f>_xlfn.XLOOKUP(A9,Dataset!A:A,Dataset!N:N)</f>
        <v>13.3</v>
      </c>
      <c r="D9" s="12">
        <f>_xlfn.XLOOKUP(A9,Dataset!A:A,Dataset!R:R)</f>
        <v>8.1</v>
      </c>
      <c r="E9" s="12">
        <f>_xlfn.XLOOKUP(A9,Dataset!A:A,Dataset!T:T)</f>
        <v>17</v>
      </c>
      <c r="F9" s="8">
        <f>_xlfn.XLOOKUP(A9,Dataset!A:A,Dataset!V:V)</f>
        <v>8.1</v>
      </c>
    </row>
    <row r="10" spans="1:7" ht="14.5" x14ac:dyDescent="0.35">
      <c r="A10" s="7" t="s">
        <v>11</v>
      </c>
      <c r="B10" s="12">
        <f>_xlfn.XLOOKUP(A10,Dataset!A:A,Dataset!G:G)</f>
        <v>9.4</v>
      </c>
      <c r="C10" s="12">
        <f>_xlfn.XLOOKUP(A10,Dataset!A:A,Dataset!N:N)</f>
        <v>28.3</v>
      </c>
      <c r="D10" s="12">
        <f>_xlfn.XLOOKUP(A10,Dataset!A:A,Dataset!R:R)</f>
        <v>16.100000000000001</v>
      </c>
      <c r="E10" s="12">
        <f>_xlfn.XLOOKUP(A10,Dataset!A:A,Dataset!T:T)</f>
        <v>32.799999999999997</v>
      </c>
      <c r="F10" s="8">
        <f>_xlfn.XLOOKUP(A10,Dataset!A:A,Dataset!V:V)</f>
        <v>16.100000000000001</v>
      </c>
    </row>
    <row r="11" spans="1:7" ht="14.5" x14ac:dyDescent="0.35">
      <c r="A11" s="7" t="s">
        <v>12</v>
      </c>
      <c r="B11" s="12">
        <f>_xlfn.XLOOKUP(A11,Dataset!A:A,Dataset!G:G)</f>
        <v>11.6</v>
      </c>
      <c r="C11" s="12">
        <f>_xlfn.XLOOKUP(A11,Dataset!A:A,Dataset!N:N)</f>
        <v>35.200000000000003</v>
      </c>
      <c r="D11" s="12">
        <f>_xlfn.XLOOKUP(A11,Dataset!A:A,Dataset!R:R)</f>
        <v>21.3</v>
      </c>
      <c r="E11" s="12">
        <f>_xlfn.XLOOKUP(A11,Dataset!A:A,Dataset!T:T)</f>
        <v>43</v>
      </c>
      <c r="F11" s="8">
        <f>_xlfn.XLOOKUP(A11,Dataset!A:A,Dataset!V:V)</f>
        <v>21.3</v>
      </c>
    </row>
    <row r="12" spans="1:7" ht="14.5" x14ac:dyDescent="0.35">
      <c r="A12" s="7" t="s">
        <v>14</v>
      </c>
      <c r="B12" s="12">
        <f>_xlfn.XLOOKUP(A12,Dataset!A:A,Dataset!G:G)</f>
        <v>18.399999999999999</v>
      </c>
      <c r="C12" s="12">
        <f>_xlfn.XLOOKUP(A12,Dataset!A:A,Dataset!N:N)</f>
        <v>55.6</v>
      </c>
      <c r="D12" s="12">
        <f>_xlfn.XLOOKUP(A12,Dataset!A:A,Dataset!R:R)</f>
        <v>33.799999999999997</v>
      </c>
      <c r="E12" s="12">
        <f>_xlfn.XLOOKUP(A12,Dataset!A:A,Dataset!T:T)</f>
        <v>67.900000000000006</v>
      </c>
      <c r="F12" s="8">
        <f>_xlfn.XLOOKUP(A12,Dataset!A:A,Dataset!V:V)</f>
        <v>33.799999999999997</v>
      </c>
    </row>
    <row r="13" spans="1:7" ht="14.5" x14ac:dyDescent="0.35">
      <c r="A13" s="7" t="s">
        <v>15</v>
      </c>
      <c r="B13" s="12">
        <f>_xlfn.XLOOKUP(A13,Dataset!A:A,Dataset!G:G)</f>
        <v>0</v>
      </c>
      <c r="C13" s="12">
        <f>_xlfn.XLOOKUP(A13,Dataset!A:A,Dataset!N:N)</f>
        <v>0</v>
      </c>
      <c r="D13" s="12">
        <f>_xlfn.XLOOKUP(A13,Dataset!A:A,Dataset!R:R)</f>
        <v>0</v>
      </c>
      <c r="E13" s="12">
        <f>_xlfn.XLOOKUP(A13,Dataset!A:A,Dataset!T:T)</f>
        <v>0</v>
      </c>
      <c r="F13" s="8">
        <f>_xlfn.XLOOKUP(A13,Dataset!A:A,Dataset!V:V)</f>
        <v>0</v>
      </c>
    </row>
    <row r="14" spans="1:7" ht="14.5" x14ac:dyDescent="0.35">
      <c r="A14" s="7" t="s">
        <v>16</v>
      </c>
      <c r="B14" s="12">
        <f>_xlfn.XLOOKUP(A14,Dataset!A:A,Dataset!G:G)</f>
        <v>21.9</v>
      </c>
      <c r="C14" s="12">
        <f>_xlfn.XLOOKUP(A14,Dataset!A:A,Dataset!N:N)</f>
        <v>61.5</v>
      </c>
      <c r="D14" s="12">
        <f>_xlfn.XLOOKUP(A14,Dataset!A:A,Dataset!R:R)</f>
        <v>40.1</v>
      </c>
      <c r="E14" s="12">
        <f>_xlfn.XLOOKUP(A14,Dataset!A:A,Dataset!T:T)</f>
        <v>76.599999999999994</v>
      </c>
      <c r="F14" s="8">
        <f>_xlfn.XLOOKUP(A14,Dataset!A:A,Dataset!V:V)</f>
        <v>40.1</v>
      </c>
    </row>
    <row r="15" spans="1:7" ht="14.5" x14ac:dyDescent="0.35">
      <c r="A15" s="7" t="s">
        <v>18</v>
      </c>
      <c r="B15" s="12">
        <f>_xlfn.XLOOKUP(A15,Dataset!A:A,Dataset!G:G)</f>
        <v>26.8</v>
      </c>
      <c r="C15" s="12">
        <f>_xlfn.XLOOKUP(A15,Dataset!A:A,Dataset!N:N)</f>
        <v>79.599999999999994</v>
      </c>
      <c r="D15" s="12">
        <f>_xlfn.XLOOKUP(A15,Dataset!A:A,Dataset!R:R)</f>
        <v>47.9</v>
      </c>
      <c r="E15" s="12">
        <f>_xlfn.XLOOKUP(A15,Dataset!A:A,Dataset!T:T)</f>
        <v>96.8</v>
      </c>
      <c r="F15" s="8">
        <f>_xlfn.XLOOKUP(A15,Dataset!A:A,Dataset!V:V)</f>
        <v>47.9</v>
      </c>
    </row>
    <row r="16" spans="1:7" ht="14.5" x14ac:dyDescent="0.35">
      <c r="A16" s="7" t="s">
        <v>20</v>
      </c>
      <c r="B16" s="12">
        <f>_xlfn.XLOOKUP(A16,Dataset!A:A,Dataset!G:G)</f>
        <v>28.5</v>
      </c>
      <c r="C16" s="12">
        <f>_xlfn.XLOOKUP(A16,Dataset!A:A,Dataset!N:N)</f>
        <v>85.4</v>
      </c>
      <c r="D16" s="12">
        <f>_xlfn.XLOOKUP(A16,Dataset!A:A,Dataset!R:R)</f>
        <v>52.3</v>
      </c>
      <c r="E16" s="12">
        <f>_xlfn.XLOOKUP(A16,Dataset!A:A,Dataset!T:T)</f>
        <v>106.1</v>
      </c>
      <c r="F16" s="8">
        <f>_xlfn.XLOOKUP(A16,Dataset!A:A,Dataset!V:V)</f>
        <v>52.3</v>
      </c>
    </row>
    <row r="17" spans="1:6" ht="14.5" x14ac:dyDescent="0.35">
      <c r="A17" s="7" t="s">
        <v>22</v>
      </c>
      <c r="B17" s="12">
        <f>_xlfn.XLOOKUP(A17,Dataset!A:A,Dataset!G:G)</f>
        <v>30.7</v>
      </c>
      <c r="C17" s="12">
        <f>_xlfn.XLOOKUP(A17,Dataset!A:A,Dataset!N:N)</f>
        <v>92.1</v>
      </c>
      <c r="D17" s="12">
        <f>_xlfn.XLOOKUP(A17,Dataset!A:A,Dataset!R:R)</f>
        <v>57</v>
      </c>
      <c r="E17" s="12">
        <f>_xlfn.XLOOKUP(A17,Dataset!A:A,Dataset!T:T)</f>
        <v>115.1</v>
      </c>
      <c r="F17" s="8">
        <f>_xlfn.XLOOKUP(A17,Dataset!A:A,Dataset!V:V)</f>
        <v>57</v>
      </c>
    </row>
    <row r="18" spans="1:6" ht="14.5" x14ac:dyDescent="0.35">
      <c r="A18" s="7" t="s">
        <v>23</v>
      </c>
      <c r="B18" s="12">
        <f>_xlfn.XLOOKUP(A18,Dataset!A:A,Dataset!G:G)</f>
        <v>33.799999999999997</v>
      </c>
      <c r="C18" s="12">
        <f>_xlfn.XLOOKUP(A18,Dataset!A:A,Dataset!N:N)</f>
        <v>101.3</v>
      </c>
      <c r="D18" s="12">
        <f>_xlfn.XLOOKUP(A18,Dataset!A:A,Dataset!R:R)</f>
        <v>61.4</v>
      </c>
      <c r="E18" s="12">
        <f>_xlfn.XLOOKUP(A18,Dataset!A:A,Dataset!T:T)</f>
        <v>124.4</v>
      </c>
      <c r="F18" s="8">
        <f>_xlfn.XLOOKUP(A18,Dataset!A:A,Dataset!V:V)</f>
        <v>61.4</v>
      </c>
    </row>
    <row r="19" spans="1:6" ht="14.5" x14ac:dyDescent="0.35">
      <c r="A19" s="7" t="s">
        <v>24</v>
      </c>
      <c r="B19" s="12">
        <f>_xlfn.XLOOKUP(A19,Dataset!A:A,Dataset!G:G)</f>
        <v>34.700000000000003</v>
      </c>
      <c r="C19" s="12">
        <f>_xlfn.XLOOKUP(A19,Dataset!A:A,Dataset!N:N)</f>
        <v>106.1</v>
      </c>
      <c r="D19" s="12">
        <f>_xlfn.XLOOKUP(A19,Dataset!A:A,Dataset!R:R)</f>
        <v>63.6</v>
      </c>
      <c r="E19" s="12">
        <f>_xlfn.XLOOKUP(A19,Dataset!A:A,Dataset!T:T)</f>
        <v>128.6</v>
      </c>
      <c r="F19" s="8">
        <f>_xlfn.XLOOKUP(A19,Dataset!A:A,Dataset!V:V)</f>
        <v>63.6</v>
      </c>
    </row>
    <row r="20" spans="1:6" ht="14.5" x14ac:dyDescent="0.35">
      <c r="A20" s="7" t="s">
        <v>28</v>
      </c>
      <c r="B20" s="12">
        <f>_xlfn.XLOOKUP(A20,Dataset!A:A,Dataset!G:G)</f>
        <v>0</v>
      </c>
      <c r="C20" s="12">
        <f>_xlfn.XLOOKUP(A20,Dataset!A:A,Dataset!N:N)</f>
        <v>0</v>
      </c>
      <c r="D20" s="12">
        <f>_xlfn.XLOOKUP(A20,Dataset!A:A,Dataset!R:R)</f>
        <v>0</v>
      </c>
      <c r="E20" s="12">
        <f>_xlfn.XLOOKUP(A20,Dataset!A:A,Dataset!T:T)</f>
        <v>0</v>
      </c>
      <c r="F20" s="8">
        <f>_xlfn.XLOOKUP(A20,Dataset!A:A,Dataset!V:V)</f>
        <v>0</v>
      </c>
    </row>
    <row r="21" spans="1:6" ht="14.5" x14ac:dyDescent="0.35">
      <c r="A21" s="7" t="s">
        <v>57</v>
      </c>
      <c r="B21" s="12">
        <f>_xlfn.XLOOKUP(A21,Dataset!A:A,Dataset!G:G)</f>
        <v>41.3</v>
      </c>
      <c r="C21" s="12">
        <f>_xlfn.XLOOKUP(A21,Dataset!A:A,Dataset!N:N)</f>
        <v>124.4</v>
      </c>
      <c r="D21" s="12">
        <f>_xlfn.XLOOKUP(A21,Dataset!A:A,Dataset!R:R)</f>
        <v>75</v>
      </c>
      <c r="E21" s="12">
        <f>_xlfn.XLOOKUP(A21,Dataset!A:A,Dataset!T:T)</f>
        <v>151.5</v>
      </c>
      <c r="F21" s="8">
        <f>_xlfn.XLOOKUP(A21,Dataset!A:A,Dataset!V:V)</f>
        <v>75</v>
      </c>
    </row>
    <row r="22" spans="1:6" ht="14.5" x14ac:dyDescent="0.35">
      <c r="A22" s="7" t="s">
        <v>58</v>
      </c>
      <c r="B22" s="12">
        <f>_xlfn.XLOOKUP(A22,Dataset!A:A,Dataset!G:G)</f>
        <v>-1</v>
      </c>
      <c r="C22" s="12">
        <f>_xlfn.XLOOKUP(A22,Dataset!A:A,Dataset!N:N)</f>
        <v>-1</v>
      </c>
      <c r="D22" s="12">
        <f>_xlfn.XLOOKUP(A22,Dataset!A:A,Dataset!R:R)</f>
        <v>-1</v>
      </c>
      <c r="E22" s="12">
        <f>_xlfn.XLOOKUP(A22,Dataset!A:A,Dataset!T:T)</f>
        <v>-1</v>
      </c>
      <c r="F22" s="8">
        <f>_xlfn.XLOOKUP(A22,Dataset!A:A,Dataset!V:V)</f>
        <v>-1</v>
      </c>
    </row>
    <row r="23" spans="1:6" ht="14.5" x14ac:dyDescent="0.35">
      <c r="A23" s="7" t="s">
        <v>31</v>
      </c>
      <c r="B23" s="12">
        <f>_xlfn.XLOOKUP(A23,Dataset!A:A,Dataset!G:G)</f>
        <v>45</v>
      </c>
      <c r="C23" s="12">
        <f>_xlfn.XLOOKUP(A23,Dataset!A:A,Dataset!N:N)</f>
        <v>133.4</v>
      </c>
      <c r="D23" s="12">
        <f>_xlfn.XLOOKUP(A23,Dataset!A:A,Dataset!R:R)</f>
        <v>79.400000000000006</v>
      </c>
      <c r="E23" s="12">
        <f>_xlfn.XLOOKUP(A23,Dataset!A:A,Dataset!T:T)</f>
        <v>160.9</v>
      </c>
      <c r="F23" s="8">
        <f>_xlfn.XLOOKUP(A23,Dataset!A:A,Dataset!V:V)</f>
        <v>79.400000000000006</v>
      </c>
    </row>
    <row r="24" spans="1:6" ht="14.5" x14ac:dyDescent="0.35">
      <c r="A24" s="7" t="s">
        <v>32</v>
      </c>
      <c r="B24" s="12">
        <f>_xlfn.XLOOKUP(A24,Dataset!A:A,Dataset!G:G)</f>
        <v>-1</v>
      </c>
      <c r="C24" s="12">
        <f>_xlfn.XLOOKUP(A24,Dataset!A:A,Dataset!N:N)</f>
        <v>-1</v>
      </c>
      <c r="D24" s="12">
        <f>_xlfn.XLOOKUP(A24,Dataset!A:A,Dataset!R:R)</f>
        <v>-1</v>
      </c>
      <c r="E24" s="12">
        <f>_xlfn.XLOOKUP(A24,Dataset!A:A,Dataset!T:T)</f>
        <v>-1</v>
      </c>
      <c r="F24" s="8">
        <f>_xlfn.XLOOKUP(A24,Dataset!A:A,Dataset!V:V)</f>
        <v>-1</v>
      </c>
    </row>
    <row r="25" spans="1:6" ht="14.5" x14ac:dyDescent="0.35">
      <c r="A25" s="7" t="s">
        <v>34</v>
      </c>
      <c r="B25" s="12">
        <f>_xlfn.XLOOKUP(A25,Dataset!A:A,Dataset!G:G)</f>
        <v>43.3</v>
      </c>
      <c r="C25" s="12">
        <f>_xlfn.XLOOKUP(A25,Dataset!A:A,Dataset!N:N)</f>
        <v>128.6</v>
      </c>
      <c r="D25" s="12">
        <f>_xlfn.XLOOKUP(A25,Dataset!A:A,Dataset!R:R)</f>
        <v>79.400000000000006</v>
      </c>
      <c r="E25" s="12">
        <f>_xlfn.XLOOKUP(A25,Dataset!A:A,Dataset!T:T)</f>
        <v>160.9</v>
      </c>
      <c r="F25" s="8">
        <f>_xlfn.XLOOKUP(A25,Dataset!A:A,Dataset!V:V)</f>
        <v>79.400000000000006</v>
      </c>
    </row>
    <row r="26" spans="1:6" ht="14.5" x14ac:dyDescent="0.35">
      <c r="A26" s="7" t="s">
        <v>37</v>
      </c>
      <c r="B26" s="12">
        <f>_xlfn.XLOOKUP(A26,Dataset!A:A,Dataset!G:G)</f>
        <v>49.1</v>
      </c>
      <c r="C26" s="12">
        <f>_xlfn.XLOOKUP(A26,Dataset!A:A,Dataset!N:N)</f>
        <v>146.80000000000001</v>
      </c>
      <c r="D26" s="12">
        <f>_xlfn.XLOOKUP(A26,Dataset!A:A,Dataset!R:R)</f>
        <v>90.9</v>
      </c>
      <c r="E26" s="12">
        <f>_xlfn.XLOOKUP(A26,Dataset!A:A,Dataset!T:T)</f>
        <v>183.5</v>
      </c>
      <c r="F26" s="8">
        <f>_xlfn.XLOOKUP(A26,Dataset!A:A,Dataset!V:V)</f>
        <v>90.9</v>
      </c>
    </row>
    <row r="27" spans="1:6" ht="14.5" x14ac:dyDescent="0.35">
      <c r="A27" s="7" t="s">
        <v>39</v>
      </c>
      <c r="B27" s="12">
        <f>_xlfn.XLOOKUP(A27,Dataset!A:A,Dataset!G:G)</f>
        <v>51.8</v>
      </c>
      <c r="C27" s="12">
        <f>_xlfn.XLOOKUP(A27,Dataset!A:A,Dataset!N:N)</f>
        <v>156.4</v>
      </c>
      <c r="D27" s="12">
        <f>_xlfn.XLOOKUP(A27,Dataset!A:A,Dataset!R:R)</f>
        <v>93.1</v>
      </c>
      <c r="E27" s="12">
        <f>_xlfn.XLOOKUP(A27,Dataset!A:A,Dataset!T:T)</f>
        <v>188.1</v>
      </c>
      <c r="F27" s="8">
        <f>_xlfn.XLOOKUP(A27,Dataset!A:A,Dataset!V:V)</f>
        <v>93.1</v>
      </c>
    </row>
    <row r="28" spans="1:6" ht="14.5" x14ac:dyDescent="0.35">
      <c r="A28" s="19" t="s">
        <v>82</v>
      </c>
      <c r="B28" s="31">
        <f>MIN($B$6:$B$27)</f>
        <v>-1</v>
      </c>
      <c r="C28" s="31">
        <f>MIN($C$6:$C$27)</f>
        <v>-1</v>
      </c>
      <c r="D28" s="31">
        <f>MIN($D$6:$D$27)</f>
        <v>-1</v>
      </c>
      <c r="E28" s="31">
        <f>MIN($E$6:$E$27)</f>
        <v>-1</v>
      </c>
      <c r="F28" s="31">
        <f>MIN($F$6:$F$27)</f>
        <v>-1</v>
      </c>
    </row>
    <row r="29" spans="1:6" ht="14.5" x14ac:dyDescent="0.35">
      <c r="A29" s="19" t="s">
        <v>83</v>
      </c>
      <c r="B29" s="31">
        <f>MAX($B$6:$B$27)</f>
        <v>51.8</v>
      </c>
      <c r="C29" s="31">
        <f>MAX($C$6:$C$27)</f>
        <v>156.4</v>
      </c>
      <c r="D29" s="31">
        <f>MAX($D$6:$D$27)</f>
        <v>93.1</v>
      </c>
      <c r="E29" s="31">
        <f>MAX($E$6:$E$27)</f>
        <v>188.1</v>
      </c>
      <c r="F29" s="31">
        <f>MAX($F$6:$F$27)</f>
        <v>93.1</v>
      </c>
    </row>
    <row r="30" spans="1:6" ht="14.5" x14ac:dyDescent="0.35">
      <c r="A30" s="19" t="s">
        <v>84</v>
      </c>
      <c r="B30" s="31">
        <f>AVERAGE($B$6:$B$27)</f>
        <v>20.827272727272728</v>
      </c>
      <c r="C30" s="31">
        <f>AVERAGE($C$6:$C$27)</f>
        <v>62.377272727272725</v>
      </c>
      <c r="D30" s="31">
        <f>AVERAGE($D$6:$D$27)</f>
        <v>37.800000000000004</v>
      </c>
      <c r="E30" s="31">
        <f>AVERAGE($E$6:$E$27)</f>
        <v>76.418181818181822</v>
      </c>
      <c r="F30" s="31">
        <f>AVERAGE($F$6:$F$27)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72"/>
  <sheetViews>
    <sheetView workbookViewId="0">
      <selection activeCell="B16" sqref="B16"/>
    </sheetView>
  </sheetViews>
  <sheetFormatPr defaultColWidth="11" defaultRowHeight="14.5" x14ac:dyDescent="0.35"/>
  <cols>
    <col min="1" max="1" width="39.796875" style="1" bestFit="1" customWidth="1"/>
    <col min="2" max="8" width="11" style="1"/>
    <col min="9" max="9" width="27.3984375" style="1" bestFit="1" customWidth="1"/>
    <col min="10" max="16384" width="11" style="1"/>
  </cols>
  <sheetData>
    <row r="1" spans="1:10" s="41" customFormat="1" ht="21" x14ac:dyDescent="0.5">
      <c r="A1" s="42" t="s">
        <v>56</v>
      </c>
      <c r="B1" s="41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3" t="s">
        <v>53</v>
      </c>
      <c r="B5" s="43" t="s">
        <v>178</v>
      </c>
    </row>
    <row r="6" spans="1:10" ht="18.5" x14ac:dyDescent="0.45">
      <c r="A6" s="43" t="s">
        <v>153</v>
      </c>
      <c r="B6" s="40" t="s">
        <v>181</v>
      </c>
    </row>
    <row r="7" spans="1:10" ht="18.5" x14ac:dyDescent="0.45">
      <c r="A7" s="43"/>
      <c r="B7" s="40" t="s">
        <v>182</v>
      </c>
    </row>
    <row r="9" spans="1:10" ht="23.5" x14ac:dyDescent="0.55000000000000004">
      <c r="A9" s="18" t="s">
        <v>165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162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121</v>
      </c>
      <c r="B16" s="12" t="str" cm="1">
        <f t="array" ref="B16:F16">_xlfn.TEXTSPLIT(A16,"-")</f>
        <v>20000</v>
      </c>
      <c r="C16" s="1" t="str">
        <v>Monday</v>
      </c>
      <c r="D16" s="12" t="str">
        <v>0</v>
      </c>
      <c r="E16" s="1" t="str">
        <v>Sunday</v>
      </c>
      <c r="F16" s="12" t="str">
        <v>24</v>
      </c>
      <c r="I16" s="48"/>
    </row>
    <row r="17" spans="1:9" x14ac:dyDescent="0.35">
      <c r="A17" s="7" t="s">
        <v>122</v>
      </c>
      <c r="B17" s="12" t="str" cm="1">
        <f t="array" ref="B17:F17">_xlfn.TEXTSPLIT(A17,"-")</f>
        <v>20002</v>
      </c>
      <c r="C17" s="1" t="str">
        <v>Monday</v>
      </c>
      <c r="D17" s="12" t="str">
        <v>0</v>
      </c>
      <c r="E17" s="1" t="str">
        <v>Sunday</v>
      </c>
      <c r="F17" s="12" t="str">
        <v>24</v>
      </c>
      <c r="I17" s="48"/>
    </row>
    <row r="18" spans="1:9" x14ac:dyDescent="0.35">
      <c r="A18" s="7" t="s">
        <v>123</v>
      </c>
      <c r="B18" s="12" t="str" cm="1">
        <f t="array" ref="B18:F18">_xlfn.TEXTSPLIT(A18,"-")</f>
        <v>20004</v>
      </c>
      <c r="C18" s="1" t="str">
        <v>Monday</v>
      </c>
      <c r="D18" s="12" t="str">
        <v>0</v>
      </c>
      <c r="E18" s="1" t="str">
        <v>Sunday</v>
      </c>
      <c r="F18" s="12" t="str">
        <v>24</v>
      </c>
      <c r="I18" s="48"/>
    </row>
    <row r="19" spans="1:9" x14ac:dyDescent="0.35">
      <c r="A19" s="7" t="s">
        <v>124</v>
      </c>
      <c r="B19" s="12" t="str" cm="1">
        <f t="array" ref="B19:F19">_xlfn.TEXTSPLIT(A19,"-")</f>
        <v>20006</v>
      </c>
      <c r="C19" s="1" t="str">
        <v>Monday</v>
      </c>
      <c r="D19" s="12" t="str">
        <v>0</v>
      </c>
      <c r="E19" s="1" t="str">
        <v>Sunday</v>
      </c>
      <c r="F19" s="12" t="str">
        <v>24</v>
      </c>
      <c r="I19" s="48"/>
    </row>
    <row r="20" spans="1:9" x14ac:dyDescent="0.35">
      <c r="A20" s="7" t="s">
        <v>125</v>
      </c>
      <c r="B20" s="12" t="str" cm="1">
        <f t="array" ref="B20:F20">_xlfn.TEXTSPLIT(A20,"-")</f>
        <v>20008</v>
      </c>
      <c r="C20" s="1" t="str">
        <v>Monday</v>
      </c>
      <c r="D20" s="12" t="str">
        <v>0</v>
      </c>
      <c r="E20" s="1" t="str">
        <v>Sunday</v>
      </c>
      <c r="F20" s="12" t="str">
        <v>24</v>
      </c>
      <c r="I20" s="48"/>
    </row>
    <row r="21" spans="1:9" x14ac:dyDescent="0.35">
      <c r="A21" s="7" t="s">
        <v>126</v>
      </c>
      <c r="B21" s="12" t="str" cm="1">
        <f t="array" ref="B21:F21">_xlfn.TEXTSPLIT(A21,"-")</f>
        <v>20010</v>
      </c>
      <c r="C21" s="1" t="str">
        <v>Monday</v>
      </c>
      <c r="D21" s="12" t="str">
        <v>0</v>
      </c>
      <c r="E21" s="1" t="str">
        <v>Sunday</v>
      </c>
      <c r="F21" s="12" t="str">
        <v>24</v>
      </c>
      <c r="I21" s="48"/>
    </row>
    <row r="22" spans="1:9" x14ac:dyDescent="0.35">
      <c r="A22" s="7" t="s">
        <v>127</v>
      </c>
      <c r="B22" s="12" t="str" cm="1">
        <f t="array" ref="B22:F22">_xlfn.TEXTSPLIT(A22,"-")</f>
        <v>20012</v>
      </c>
      <c r="C22" s="1" t="str">
        <v>Monday</v>
      </c>
      <c r="D22" s="12" t="str">
        <v>0</v>
      </c>
      <c r="E22" s="1" t="str">
        <v>Sunday</v>
      </c>
      <c r="F22" s="12" t="str">
        <v>24</v>
      </c>
      <c r="I22" s="48"/>
    </row>
    <row r="23" spans="1:9" x14ac:dyDescent="0.35">
      <c r="A23" s="7" t="s">
        <v>128</v>
      </c>
      <c r="B23" s="12" t="str" cm="1">
        <f t="array" ref="B23:F23">_xlfn.TEXTSPLIT(A23,"-")</f>
        <v>20014</v>
      </c>
      <c r="C23" s="1" t="str">
        <v>Monday</v>
      </c>
      <c r="D23" s="12" t="str">
        <v>0</v>
      </c>
      <c r="E23" s="1" t="str">
        <v>Sunday</v>
      </c>
      <c r="F23" s="12" t="str">
        <v>24</v>
      </c>
      <c r="I23" s="48"/>
    </row>
    <row r="24" spans="1:9" x14ac:dyDescent="0.35">
      <c r="A24" s="7" t="s">
        <v>129</v>
      </c>
      <c r="B24" s="12" t="str" cm="1">
        <f t="array" ref="B24:F24">_xlfn.TEXTSPLIT(A24,"-")</f>
        <v>20016</v>
      </c>
      <c r="C24" s="1" t="str">
        <v>Monday</v>
      </c>
      <c r="D24" s="12" t="str">
        <v>0</v>
      </c>
      <c r="E24" s="1" t="str">
        <v>Sunday</v>
      </c>
      <c r="F24" s="12" t="str">
        <v>24</v>
      </c>
      <c r="I24" s="48"/>
    </row>
    <row r="25" spans="1:9" x14ac:dyDescent="0.35">
      <c r="A25" s="7" t="s">
        <v>130</v>
      </c>
      <c r="B25" s="12" t="str" cm="1">
        <f t="array" ref="B25:F25">_xlfn.TEXTSPLIT(A25,"-")</f>
        <v>20018</v>
      </c>
      <c r="C25" s="1" t="str">
        <v>Monday</v>
      </c>
      <c r="D25" s="12" t="str">
        <v>0</v>
      </c>
      <c r="E25" s="1" t="str">
        <v>Sunday</v>
      </c>
      <c r="F25" s="12" t="str">
        <v>24</v>
      </c>
      <c r="I25" s="48"/>
    </row>
    <row r="26" spans="1:9" x14ac:dyDescent="0.35">
      <c r="A26" s="7" t="s">
        <v>131</v>
      </c>
      <c r="B26" s="12" t="str" cm="1">
        <f t="array" ref="B26:F26">_xlfn.TEXTSPLIT(A26,"-")</f>
        <v>20020</v>
      </c>
      <c r="C26" s="1" t="str">
        <v>Monday</v>
      </c>
      <c r="D26" s="12" t="str">
        <v>0</v>
      </c>
      <c r="E26" s="1" t="str">
        <v>Sunday</v>
      </c>
      <c r="F26" s="12" t="str">
        <v>24</v>
      </c>
      <c r="I26" s="48"/>
    </row>
    <row r="27" spans="1:9" x14ac:dyDescent="0.35">
      <c r="A27" s="7" t="s">
        <v>132</v>
      </c>
      <c r="B27" s="12" t="str" cm="1">
        <f t="array" ref="B27:F27">_xlfn.TEXTSPLIT(A27,"-")</f>
        <v>20022</v>
      </c>
      <c r="C27" s="1" t="str">
        <v>Monday</v>
      </c>
      <c r="D27" s="12" t="str">
        <v>0</v>
      </c>
      <c r="E27" s="1" t="str">
        <v>Sunday</v>
      </c>
      <c r="F27" s="12" t="str">
        <v>24</v>
      </c>
      <c r="I27" s="48"/>
    </row>
    <row r="28" spans="1:9" x14ac:dyDescent="0.35">
      <c r="A28" s="7" t="s">
        <v>133</v>
      </c>
      <c r="B28" s="12" t="str" cm="1">
        <f t="array" ref="B28:F28">_xlfn.TEXTSPLIT(A28,"-")</f>
        <v>20024</v>
      </c>
      <c r="C28" s="1" t="str">
        <v>Monday</v>
      </c>
      <c r="D28" s="12" t="str">
        <v>0</v>
      </c>
      <c r="E28" s="1" t="str">
        <v>Sunday</v>
      </c>
      <c r="F28" s="12" t="str">
        <v>24</v>
      </c>
      <c r="I28" s="48"/>
    </row>
    <row r="29" spans="1:9" x14ac:dyDescent="0.35">
      <c r="A29" s="7" t="s">
        <v>134</v>
      </c>
      <c r="B29" s="12" t="str" cm="1">
        <f t="array" ref="B29:F29">_xlfn.TEXTSPLIT(A29,"-")</f>
        <v>20026</v>
      </c>
      <c r="C29" s="1" t="str">
        <v>Monday</v>
      </c>
      <c r="D29" s="12" t="str">
        <v>0</v>
      </c>
      <c r="E29" s="1" t="str">
        <v>Sunday</v>
      </c>
      <c r="F29" s="12" t="str">
        <v>24</v>
      </c>
      <c r="I29" s="48"/>
    </row>
    <row r="30" spans="1:9" x14ac:dyDescent="0.35">
      <c r="A30" s="7" t="s">
        <v>135</v>
      </c>
      <c r="B30" s="12" t="str" cm="1">
        <f t="array" ref="B30:F30">_xlfn.TEXTSPLIT(A30,"-")</f>
        <v>20028</v>
      </c>
      <c r="C30" s="1" t="str">
        <v>Monday</v>
      </c>
      <c r="D30" s="12" t="str">
        <v>0</v>
      </c>
      <c r="E30" s="1" t="str">
        <v>Sunday</v>
      </c>
      <c r="F30" s="12" t="str">
        <v>24</v>
      </c>
      <c r="I30" s="48"/>
    </row>
    <row r="31" spans="1:9" x14ac:dyDescent="0.35">
      <c r="A31" s="7" t="s">
        <v>136</v>
      </c>
      <c r="B31" s="12" t="str" cm="1">
        <f t="array" ref="B31:F31">_xlfn.TEXTSPLIT(A31,"-")</f>
        <v>20030</v>
      </c>
      <c r="C31" s="1" t="str">
        <v>Monday</v>
      </c>
      <c r="D31" s="12" t="str">
        <v>0</v>
      </c>
      <c r="E31" s="1" t="str">
        <v>Sunday</v>
      </c>
      <c r="F31" s="12" t="str">
        <v>24</v>
      </c>
      <c r="I31" s="48"/>
    </row>
    <row r="32" spans="1:9" x14ac:dyDescent="0.35">
      <c r="A32" s="7" t="s">
        <v>137</v>
      </c>
      <c r="B32" s="12" t="str" cm="1">
        <f t="array" ref="B32:F32">_xlfn.TEXTSPLIT(A32,"-")</f>
        <v>20032</v>
      </c>
      <c r="C32" s="1" t="str">
        <v>Monday</v>
      </c>
      <c r="D32" s="12" t="str">
        <v>0</v>
      </c>
      <c r="E32" s="1" t="str">
        <v>Sunday</v>
      </c>
      <c r="F32" s="12" t="str">
        <v>24</v>
      </c>
      <c r="I32" s="48"/>
    </row>
    <row r="33" spans="1:9" x14ac:dyDescent="0.35">
      <c r="A33" s="7" t="s">
        <v>138</v>
      </c>
      <c r="B33" s="12" t="str" cm="1">
        <f t="array" ref="B33:F33">_xlfn.TEXTSPLIT(A33,"-")</f>
        <v>20034</v>
      </c>
      <c r="C33" s="1" t="str">
        <v>Monday</v>
      </c>
      <c r="D33" s="12" t="str">
        <v>0</v>
      </c>
      <c r="E33" s="1" t="str">
        <v>Sunday</v>
      </c>
      <c r="F33" s="12" t="str">
        <v>24</v>
      </c>
      <c r="I33" s="48"/>
    </row>
    <row r="34" spans="1:9" x14ac:dyDescent="0.35">
      <c r="A34" s="7" t="s">
        <v>139</v>
      </c>
      <c r="B34" s="12" t="str" cm="1">
        <f t="array" ref="B34:F34">_xlfn.TEXTSPLIT(A34,"-")</f>
        <v>20036</v>
      </c>
      <c r="C34" s="1" t="str">
        <v>Monday</v>
      </c>
      <c r="D34" s="12" t="str">
        <v>0</v>
      </c>
      <c r="E34" s="1" t="str">
        <v>Sunday</v>
      </c>
      <c r="F34" s="12" t="str">
        <v>24</v>
      </c>
      <c r="I34" s="48"/>
    </row>
    <row r="35" spans="1:9" x14ac:dyDescent="0.35">
      <c r="A35" s="7" t="s">
        <v>140</v>
      </c>
      <c r="B35" s="12" t="str" cm="1">
        <f t="array" ref="B35:F35">_xlfn.TEXTSPLIT(A35,"-")</f>
        <v>20038</v>
      </c>
      <c r="C35" s="1" t="str">
        <v>Monday</v>
      </c>
      <c r="D35" s="12" t="str">
        <v>0</v>
      </c>
      <c r="E35" s="1" t="str">
        <v>Sunday</v>
      </c>
      <c r="F35" s="12" t="str">
        <v>24</v>
      </c>
      <c r="I35" s="48"/>
    </row>
    <row r="36" spans="1:9" x14ac:dyDescent="0.35">
      <c r="A36" s="7" t="s">
        <v>141</v>
      </c>
      <c r="B36" s="12" t="str" cm="1">
        <f t="array" ref="B36:F36">_xlfn.TEXTSPLIT(A36,"-")</f>
        <v>20040</v>
      </c>
      <c r="C36" s="1" t="str">
        <v>Monday</v>
      </c>
      <c r="D36" s="12" t="str">
        <v>0</v>
      </c>
      <c r="E36" s="1" t="str">
        <v>Sunday</v>
      </c>
      <c r="F36" s="12" t="str">
        <v>24</v>
      </c>
      <c r="I36" s="48"/>
    </row>
    <row r="37" spans="1:9" x14ac:dyDescent="0.35">
      <c r="A37" s="7" t="s">
        <v>142</v>
      </c>
      <c r="B37" s="12" t="str" cm="1">
        <f t="array" ref="B37:F37">_xlfn.TEXTSPLIT(A37,"-")</f>
        <v>20042</v>
      </c>
      <c r="C37" s="1" t="str">
        <v>Monday</v>
      </c>
      <c r="D37" s="12" t="str">
        <v>0</v>
      </c>
      <c r="E37" s="1" t="str">
        <v>Sunday</v>
      </c>
      <c r="F37" s="12" t="str">
        <v>24</v>
      </c>
      <c r="I37" s="48"/>
    </row>
    <row r="38" spans="1:9" x14ac:dyDescent="0.35">
      <c r="A38" s="7" t="s">
        <v>143</v>
      </c>
      <c r="B38" s="12" t="str" cm="1">
        <f t="array" ref="B38:F38">_xlfn.TEXTSPLIT(A38,"-")</f>
        <v>20044</v>
      </c>
      <c r="C38" s="1" t="str">
        <v>Monday</v>
      </c>
      <c r="D38" s="12" t="str">
        <v>0</v>
      </c>
      <c r="E38" s="1" t="str">
        <v>Sunday</v>
      </c>
      <c r="F38" s="12" t="str">
        <v>24</v>
      </c>
      <c r="I38" s="48"/>
    </row>
    <row r="39" spans="1:9" x14ac:dyDescent="0.35">
      <c r="A39" s="7" t="s">
        <v>144</v>
      </c>
      <c r="B39" s="12" t="str" cm="1">
        <f t="array" ref="B39:F39">_xlfn.TEXTSPLIT(A39,"-")</f>
        <v>20046</v>
      </c>
      <c r="C39" s="1" t="str">
        <v>Monday</v>
      </c>
      <c r="D39" s="12" t="str">
        <v>0</v>
      </c>
      <c r="E39" s="1" t="str">
        <v>Sunday</v>
      </c>
      <c r="F39" s="12" t="str">
        <v>24</v>
      </c>
      <c r="I39" s="48"/>
    </row>
    <row r="40" spans="1:9" x14ac:dyDescent="0.35">
      <c r="A40" s="7" t="s">
        <v>145</v>
      </c>
      <c r="B40" s="12" t="str" cm="1">
        <f t="array" ref="B40:F40">_xlfn.TEXTSPLIT(A40,"-")</f>
        <v>20048</v>
      </c>
      <c r="C40" s="1" t="str">
        <v>Monday</v>
      </c>
      <c r="D40" s="12" t="str">
        <v>0</v>
      </c>
      <c r="E40" s="1" t="str">
        <v>Sunday</v>
      </c>
      <c r="F40" s="12" t="str">
        <v>24</v>
      </c>
      <c r="I40" s="48"/>
    </row>
    <row r="41" spans="1:9" x14ac:dyDescent="0.35">
      <c r="A41" s="7" t="s">
        <v>146</v>
      </c>
      <c r="B41" s="12" t="str" cm="1">
        <f t="array" ref="B41:F41">_xlfn.TEXTSPLIT(A41,"-")</f>
        <v>20050</v>
      </c>
      <c r="C41" s="1" t="str">
        <v>Monday</v>
      </c>
      <c r="D41" s="12" t="str">
        <v>0</v>
      </c>
      <c r="E41" s="1" t="str">
        <v>Sunday</v>
      </c>
      <c r="F41" s="12" t="str">
        <v>24</v>
      </c>
      <c r="I41" s="48"/>
    </row>
    <row r="42" spans="1:9" x14ac:dyDescent="0.35">
      <c r="A42" s="7" t="s">
        <v>147</v>
      </c>
      <c r="B42" s="12" t="str" cm="1">
        <f t="array" ref="B42:F42">_xlfn.TEXTSPLIT(A42,"-")</f>
        <v>20052</v>
      </c>
      <c r="C42" s="1" t="str">
        <v>Monday</v>
      </c>
      <c r="D42" s="12" t="str">
        <v>0</v>
      </c>
      <c r="E42" s="1" t="str">
        <v>Sunday</v>
      </c>
      <c r="F42" s="12" t="str">
        <v>24</v>
      </c>
      <c r="I42" s="48"/>
    </row>
    <row r="43" spans="1:9" x14ac:dyDescent="0.35">
      <c r="A43" s="7" t="s">
        <v>148</v>
      </c>
      <c r="B43" s="12" t="str" cm="1">
        <f t="array" ref="B43:F43">_xlfn.TEXTSPLIT(A43,"-")</f>
        <v>20054</v>
      </c>
      <c r="C43" s="1" t="str">
        <v>Monday</v>
      </c>
      <c r="D43" s="12" t="str">
        <v>0</v>
      </c>
      <c r="E43" s="1" t="str">
        <v>Sunday</v>
      </c>
      <c r="F43" s="12" t="str">
        <v>24</v>
      </c>
      <c r="I43" s="48"/>
    </row>
    <row r="44" spans="1:9" x14ac:dyDescent="0.35">
      <c r="A44" s="7" t="s">
        <v>149</v>
      </c>
      <c r="B44" s="12" t="str" cm="1">
        <f t="array" ref="B44:F44">_xlfn.TEXTSPLIT(A44,"-")</f>
        <v>20058</v>
      </c>
      <c r="C44" s="1" t="str">
        <v>Monday</v>
      </c>
      <c r="D44" s="12" t="str">
        <v>0</v>
      </c>
      <c r="E44" s="1" t="str">
        <v>Sunday</v>
      </c>
      <c r="F44" s="12" t="str">
        <v>24</v>
      </c>
      <c r="I44" s="48"/>
    </row>
    <row r="45" spans="1:9" x14ac:dyDescent="0.35">
      <c r="A45" s="7" t="s">
        <v>150</v>
      </c>
      <c r="B45" s="12" t="str" cm="1">
        <f t="array" ref="B45:F45">_xlfn.TEXTSPLIT(A45,"-")</f>
        <v>20060</v>
      </c>
      <c r="C45" s="1" t="str">
        <v>Monday</v>
      </c>
      <c r="D45" s="12" t="str">
        <v>0</v>
      </c>
      <c r="E45" s="1" t="str">
        <v>Sunday</v>
      </c>
      <c r="F45" s="12" t="str">
        <v>24</v>
      </c>
      <c r="I45" s="48"/>
    </row>
    <row r="46" spans="1:9" x14ac:dyDescent="0.35">
      <c r="A46" s="7" t="s">
        <v>112</v>
      </c>
      <c r="B46" s="12" t="str" cm="1">
        <f t="array" ref="B46:F46">_xlfn.TEXTSPLIT(A46,"-")</f>
        <v>21000</v>
      </c>
      <c r="C46" s="1" t="str">
        <v>Monday</v>
      </c>
      <c r="D46" s="12" t="str">
        <v>0</v>
      </c>
      <c r="E46" s="1" t="str">
        <v>Sunday</v>
      </c>
      <c r="F46" s="12" t="str">
        <v>24</v>
      </c>
      <c r="I46" s="48"/>
    </row>
    <row r="47" spans="1:9" x14ac:dyDescent="0.35">
      <c r="A47" s="7" t="s">
        <v>113</v>
      </c>
      <c r="B47" s="12" t="str" cm="1">
        <f t="array" ref="B47:F47">_xlfn.TEXTSPLIT(A47,"-")</f>
        <v>21002</v>
      </c>
      <c r="C47" s="1" t="str">
        <v>Monday</v>
      </c>
      <c r="D47" s="12" t="str">
        <v>0</v>
      </c>
      <c r="E47" s="1" t="str">
        <v>Sunday</v>
      </c>
      <c r="F47" s="12" t="str">
        <v>24</v>
      </c>
      <c r="I47" s="48"/>
    </row>
    <row r="48" spans="1:9" x14ac:dyDescent="0.35">
      <c r="A48" s="7" t="s">
        <v>114</v>
      </c>
      <c r="B48" s="12" t="str" cm="1">
        <f t="array" ref="B48:F48">_xlfn.TEXTSPLIT(A48,"-")</f>
        <v>21004</v>
      </c>
      <c r="C48" s="1" t="str">
        <v>Monday</v>
      </c>
      <c r="D48" s="12" t="str">
        <v>0</v>
      </c>
      <c r="E48" s="1" t="str">
        <v>Sunday</v>
      </c>
      <c r="F48" s="12" t="str">
        <v>24</v>
      </c>
      <c r="I48" s="48"/>
    </row>
    <row r="49" spans="1:9" x14ac:dyDescent="0.35">
      <c r="A49" s="7" t="s">
        <v>115</v>
      </c>
      <c r="B49" s="12" t="str" cm="1">
        <f t="array" ref="B49:F49">_xlfn.TEXTSPLIT(A49,"-")</f>
        <v>21006</v>
      </c>
      <c r="C49" s="1" t="str">
        <v>Monday</v>
      </c>
      <c r="D49" s="12" t="str">
        <v>0</v>
      </c>
      <c r="E49" s="1" t="str">
        <v>Sunday</v>
      </c>
      <c r="F49" s="12" t="str">
        <v>24</v>
      </c>
      <c r="I49" s="48"/>
    </row>
    <row r="50" spans="1:9" x14ac:dyDescent="0.35">
      <c r="A50" s="7" t="s">
        <v>116</v>
      </c>
      <c r="B50" s="12" t="str" cm="1">
        <f t="array" ref="B50:F50">_xlfn.TEXTSPLIT(A50,"-")</f>
        <v>21008</v>
      </c>
      <c r="C50" s="1" t="str">
        <v>Monday</v>
      </c>
      <c r="D50" s="12" t="str">
        <v>0</v>
      </c>
      <c r="E50" s="1" t="str">
        <v>Sunday</v>
      </c>
      <c r="F50" s="12" t="str">
        <v>24</v>
      </c>
      <c r="I50" s="48"/>
    </row>
    <row r="51" spans="1:9" x14ac:dyDescent="0.35">
      <c r="A51" s="7" t="s">
        <v>117</v>
      </c>
      <c r="B51" s="12" t="str" cm="1">
        <f t="array" ref="B51:F51">_xlfn.TEXTSPLIT(A51,"-")</f>
        <v>21010</v>
      </c>
      <c r="C51" s="1" t="str">
        <v>Monday</v>
      </c>
      <c r="D51" s="12" t="str">
        <v>0</v>
      </c>
      <c r="E51" s="1" t="str">
        <v>Sunday</v>
      </c>
      <c r="F51" s="12" t="str">
        <v>24</v>
      </c>
      <c r="I51" s="48"/>
    </row>
    <row r="52" spans="1:9" x14ac:dyDescent="0.35">
      <c r="A52" s="7" t="s">
        <v>118</v>
      </c>
      <c r="B52" s="12" t="str" cm="1">
        <f t="array" ref="B52:F52">_xlfn.TEXTSPLIT(A52,"-")</f>
        <v>21012</v>
      </c>
      <c r="C52" s="1" t="str">
        <v>Monday</v>
      </c>
      <c r="D52" s="12" t="str">
        <v>0</v>
      </c>
      <c r="E52" s="1" t="str">
        <v>Sunday</v>
      </c>
      <c r="F52" s="12" t="str">
        <v>24</v>
      </c>
      <c r="I52" s="48"/>
    </row>
    <row r="53" spans="1:9" x14ac:dyDescent="0.35">
      <c r="A53" s="7" t="s">
        <v>119</v>
      </c>
      <c r="B53" s="12" t="str" cm="1">
        <f t="array" ref="B53:F53">_xlfn.TEXTSPLIT(A53,"-")</f>
        <v>21014</v>
      </c>
      <c r="C53" s="1" t="str">
        <v>Monday</v>
      </c>
      <c r="D53" s="12" t="str">
        <v>0</v>
      </c>
      <c r="E53" s="1" t="str">
        <v>Sunday</v>
      </c>
      <c r="F53" s="12" t="str">
        <v>24</v>
      </c>
      <c r="I53" s="48"/>
    </row>
    <row r="54" spans="1:9" x14ac:dyDescent="0.35">
      <c r="A54" s="9" t="s">
        <v>120</v>
      </c>
      <c r="B54" s="13" t="str" cm="1">
        <f t="array" ref="B54:F54">_xlfn.TEXTSPLIT(A54,"-")</f>
        <v>21016</v>
      </c>
      <c r="C54" s="10" t="str">
        <v>Monday</v>
      </c>
      <c r="D54" s="13" t="str">
        <v>0</v>
      </c>
      <c r="E54" s="10" t="str">
        <v>Sunday</v>
      </c>
      <c r="F54" s="13" t="str">
        <v>24</v>
      </c>
      <c r="I54" s="48"/>
    </row>
    <row r="55" spans="1:9" x14ac:dyDescent="0.35">
      <c r="I55" s="48"/>
    </row>
    <row r="56" spans="1:9" x14ac:dyDescent="0.35">
      <c r="I56" s="48"/>
    </row>
    <row r="57" spans="1:9" x14ac:dyDescent="0.35">
      <c r="I57" s="48"/>
    </row>
    <row r="58" spans="1:9" x14ac:dyDescent="0.35">
      <c r="I58" s="48"/>
    </row>
    <row r="59" spans="1:9" x14ac:dyDescent="0.35">
      <c r="I59" s="48"/>
    </row>
    <row r="60" spans="1:9" x14ac:dyDescent="0.35">
      <c r="I60" s="48"/>
    </row>
    <row r="61" spans="1:9" x14ac:dyDescent="0.35">
      <c r="I61" s="48"/>
    </row>
    <row r="62" spans="1:9" x14ac:dyDescent="0.35">
      <c r="I62" s="48"/>
    </row>
    <row r="63" spans="1:9" x14ac:dyDescent="0.35">
      <c r="I63" s="48"/>
    </row>
    <row r="64" spans="1:9" x14ac:dyDescent="0.35">
      <c r="I64" s="48"/>
    </row>
    <row r="65" spans="9:9" x14ac:dyDescent="0.35">
      <c r="I65" s="48"/>
    </row>
    <row r="66" spans="9:9" x14ac:dyDescent="0.35">
      <c r="I66" s="48"/>
    </row>
    <row r="67" spans="9:9" x14ac:dyDescent="0.35">
      <c r="I67" s="48"/>
    </row>
    <row r="68" spans="9:9" x14ac:dyDescent="0.35">
      <c r="I68" s="48"/>
    </row>
    <row r="69" spans="9:9" x14ac:dyDescent="0.35">
      <c r="I69" s="48"/>
    </row>
    <row r="70" spans="9:9" x14ac:dyDescent="0.35">
      <c r="I70" s="48"/>
    </row>
    <row r="71" spans="9:9" x14ac:dyDescent="0.35">
      <c r="I71" s="48"/>
    </row>
    <row r="72" spans="9:9" x14ac:dyDescent="0.35">
      <c r="I72" s="48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22"/>
  <sheetViews>
    <sheetView workbookViewId="0">
      <selection activeCell="B22" sqref="B22:C22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5" style="2" bestFit="1" customWidth="1"/>
    <col min="7" max="8" width="14.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5" style="2" bestFit="1" customWidth="1"/>
    <col min="14" max="14" width="11" style="2" bestFit="1" customWidth="1"/>
    <col min="15" max="15" width="8" style="2" bestFit="1" customWidth="1"/>
    <col min="16" max="17" width="12.5" style="2" bestFit="1" customWidth="1"/>
    <col min="18" max="18" width="24.19921875" style="2" bestFit="1" customWidth="1"/>
    <col min="19" max="19" width="12.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5" style="2" bestFit="1" customWidth="1"/>
    <col min="25" max="25" width="15" style="2" bestFit="1" customWidth="1"/>
    <col min="26" max="16384" width="11" style="2"/>
  </cols>
  <sheetData>
    <row r="1" spans="1:5" ht="21" x14ac:dyDescent="0.5">
      <c r="A1" s="42" t="s">
        <v>85</v>
      </c>
      <c r="B1" s="41" t="s">
        <v>167</v>
      </c>
    </row>
    <row r="2" spans="1:5" ht="18.5" x14ac:dyDescent="0.45">
      <c r="B2" s="40" t="s">
        <v>166</v>
      </c>
    </row>
    <row r="5" spans="1:5" ht="14.5" x14ac:dyDescent="0.35">
      <c r="B5" s="1" t="s">
        <v>151</v>
      </c>
    </row>
    <row r="6" spans="1:5" ht="14.5" x14ac:dyDescent="0.35">
      <c r="A6" s="3" t="s">
        <v>53</v>
      </c>
      <c r="B6" s="3" t="s">
        <v>179</v>
      </c>
    </row>
    <row r="7" spans="1:5" ht="14.5" x14ac:dyDescent="0.35">
      <c r="A7" s="3" t="s">
        <v>153</v>
      </c>
      <c r="B7" s="1" t="s">
        <v>184</v>
      </c>
    </row>
    <row r="10" spans="1:5" ht="23.5" x14ac:dyDescent="0.55000000000000004">
      <c r="A10" s="18" t="s">
        <v>162</v>
      </c>
    </row>
    <row r="11" spans="1:5" ht="14.5" x14ac:dyDescent="0.35">
      <c r="A11" s="32" t="s">
        <v>86</v>
      </c>
      <c r="B11" s="17" t="s">
        <v>87</v>
      </c>
      <c r="C11" s="17" t="s">
        <v>88</v>
      </c>
      <c r="E11" s="49"/>
    </row>
    <row r="12" spans="1:5" ht="14.5" x14ac:dyDescent="0.35">
      <c r="A12" s="32">
        <v>44927</v>
      </c>
      <c r="B12" s="17" t="s">
        <v>59</v>
      </c>
      <c r="C12" s="17">
        <v>200</v>
      </c>
      <c r="E12" s="48"/>
    </row>
    <row r="13" spans="1:5" ht="14.5" x14ac:dyDescent="0.35">
      <c r="A13" s="32">
        <v>44928</v>
      </c>
      <c r="B13" s="17" t="s">
        <v>60</v>
      </c>
      <c r="C13" s="17" t="e">
        <v>#N/A</v>
      </c>
      <c r="E13" s="48"/>
    </row>
    <row r="14" spans="1:5" ht="14.5" x14ac:dyDescent="0.35">
      <c r="A14" s="32">
        <v>44929</v>
      </c>
      <c r="B14" s="17" t="s">
        <v>61</v>
      </c>
      <c r="C14" s="17">
        <v>50</v>
      </c>
      <c r="E14" s="48"/>
    </row>
    <row r="15" spans="1:5" ht="14.5" x14ac:dyDescent="0.35">
      <c r="A15" s="32">
        <v>44930</v>
      </c>
      <c r="B15" s="17" t="s">
        <v>62</v>
      </c>
      <c r="C15" s="17" t="e">
        <v>#N/A</v>
      </c>
      <c r="E15" s="48"/>
    </row>
    <row r="16" spans="1:5" ht="14.5" x14ac:dyDescent="0.35">
      <c r="A16" s="32">
        <v>44931</v>
      </c>
      <c r="B16" s="17" t="s">
        <v>63</v>
      </c>
      <c r="C16" s="17">
        <v>10</v>
      </c>
      <c r="E16" s="48"/>
    </row>
    <row r="17" spans="1:5" ht="14.5" x14ac:dyDescent="0.35">
      <c r="A17" s="32">
        <v>44932</v>
      </c>
      <c r="B17" s="17" t="s">
        <v>154</v>
      </c>
      <c r="C17" s="17">
        <v>150</v>
      </c>
      <c r="E17" s="48"/>
    </row>
    <row r="18" spans="1:5" ht="14.5" x14ac:dyDescent="0.35">
      <c r="A18" s="32">
        <v>44933</v>
      </c>
      <c r="B18" s="17" t="s">
        <v>155</v>
      </c>
      <c r="C18" s="17">
        <v>80</v>
      </c>
      <c r="E18" s="48"/>
    </row>
    <row r="19" spans="1:5" ht="14.5" x14ac:dyDescent="0.35">
      <c r="A19" s="32">
        <v>44934</v>
      </c>
      <c r="B19" s="17" t="s">
        <v>156</v>
      </c>
      <c r="C19" s="17" t="e">
        <v>#N/A</v>
      </c>
      <c r="E19" s="48"/>
    </row>
    <row r="20" spans="1:5" ht="14.5" x14ac:dyDescent="0.35">
      <c r="A20" s="32">
        <v>44935</v>
      </c>
      <c r="B20" s="17" t="s">
        <v>157</v>
      </c>
      <c r="C20" s="17">
        <v>30</v>
      </c>
      <c r="E20" s="48"/>
    </row>
    <row r="21" spans="1:5" ht="14.5" x14ac:dyDescent="0.35">
      <c r="A21" s="32">
        <v>44936</v>
      </c>
      <c r="B21" s="17" t="s">
        <v>158</v>
      </c>
      <c r="C21" s="17" t="e">
        <v>#N/A</v>
      </c>
      <c r="E21" s="48"/>
    </row>
    <row r="22" spans="1:5" ht="14.5" x14ac:dyDescent="0.35">
      <c r="B22" s="19" t="s">
        <v>159</v>
      </c>
      <c r="C22" s="26" cm="1">
        <f t="array" ref="C22">SUM(IF(ISNA(C12:C21),20,C12:C21))</f>
        <v>600</v>
      </c>
      <c r="E22" s="4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A35"/>
  <sheetViews>
    <sheetView tabSelected="1" topLeftCell="B1" workbookViewId="0">
      <selection activeCell="I30" sqref="I30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27" ht="21" x14ac:dyDescent="0.5">
      <c r="A1" s="42" t="s">
        <v>98</v>
      </c>
      <c r="B1" s="41" t="s">
        <v>175</v>
      </c>
    </row>
    <row r="3" spans="1:27" ht="14.5" x14ac:dyDescent="0.35">
      <c r="B3" s="1" t="s">
        <v>151</v>
      </c>
    </row>
    <row r="4" spans="1:27" ht="18.5" x14ac:dyDescent="0.45">
      <c r="A4" s="43" t="s">
        <v>53</v>
      </c>
      <c r="B4" s="1"/>
      <c r="C4" s="2" t="s">
        <v>180</v>
      </c>
    </row>
    <row r="5" spans="1:27" ht="18.5" x14ac:dyDescent="0.45">
      <c r="A5" s="43" t="s">
        <v>153</v>
      </c>
      <c r="B5" s="3" t="s">
        <v>183</v>
      </c>
    </row>
    <row r="6" spans="1:27" ht="14.5" customHeight="1" x14ac:dyDescent="0.35">
      <c r="A6" s="3"/>
      <c r="B6" s="50" t="s">
        <v>185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ht="16.5" customHeight="1" x14ac:dyDescent="0.3"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ht="23.5" x14ac:dyDescent="0.55000000000000004">
      <c r="A8" s="18" t="s">
        <v>162</v>
      </c>
      <c r="M8" s="18" t="s">
        <v>163</v>
      </c>
    </row>
    <row r="9" spans="1:27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27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27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27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27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27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27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27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168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4">
        <f>INDEX($A$9:$J$18,MATCH(VLOOKUP($A23,$M$9:$N$18,2,0),$A$9:$A$18,0),MATCH(VLOOKUP($B23,$M$9:$N$18,2,0),$A$9:$J$9,0))</f>
        <v>95</v>
      </c>
    </row>
    <row r="24" spans="1:14" ht="14.5" x14ac:dyDescent="0.35">
      <c r="A24" s="7">
        <v>10100</v>
      </c>
      <c r="B24" s="12">
        <v>10104</v>
      </c>
      <c r="C24" s="44">
        <f t="shared" ref="C24:C35" si="0">INDEX($A$9:$J$18,MATCH(VLOOKUP($A24,$M$9:$N$18,2,0),$A$9:$A$18,0),MATCH(VLOOKUP($B24,$M$9:$N$18,2,0),$A$9:$J$9,0))</f>
        <v>-1</v>
      </c>
    </row>
    <row r="25" spans="1:14" ht="14.5" x14ac:dyDescent="0.35">
      <c r="A25" s="7">
        <v>10108</v>
      </c>
      <c r="B25" s="12">
        <v>10102</v>
      </c>
      <c r="C25" s="44">
        <f t="shared" si="0"/>
        <v>160</v>
      </c>
    </row>
    <row r="26" spans="1:14" ht="14.5" x14ac:dyDescent="0.35">
      <c r="A26" s="7">
        <v>10100</v>
      </c>
      <c r="B26" s="12">
        <v>10106</v>
      </c>
      <c r="C26" s="44">
        <f t="shared" si="0"/>
        <v>185</v>
      </c>
    </row>
    <row r="27" spans="1:14" ht="14.5" x14ac:dyDescent="0.35">
      <c r="A27" s="7">
        <v>10108</v>
      </c>
      <c r="B27" s="12">
        <v>10110</v>
      </c>
      <c r="C27" s="44">
        <f t="shared" si="0"/>
        <v>50</v>
      </c>
    </row>
    <row r="28" spans="1:14" ht="14.5" x14ac:dyDescent="0.35">
      <c r="A28" s="7">
        <v>10102</v>
      </c>
      <c r="B28" s="12">
        <v>10104</v>
      </c>
      <c r="C28" s="44">
        <f t="shared" si="0"/>
        <v>-1</v>
      </c>
    </row>
    <row r="29" spans="1:14" ht="14.5" x14ac:dyDescent="0.35">
      <c r="A29" s="7">
        <v>10106</v>
      </c>
      <c r="B29" s="12">
        <v>10108</v>
      </c>
      <c r="C29" s="44">
        <f t="shared" si="0"/>
        <v>70</v>
      </c>
    </row>
    <row r="30" spans="1:14" ht="14.5" x14ac:dyDescent="0.35">
      <c r="A30" s="7">
        <v>10102</v>
      </c>
      <c r="B30" s="12">
        <v>10106</v>
      </c>
      <c r="C30" s="44">
        <f t="shared" si="0"/>
        <v>90</v>
      </c>
    </row>
    <row r="31" spans="1:14" ht="14.5" x14ac:dyDescent="0.35">
      <c r="A31" s="7">
        <v>10110</v>
      </c>
      <c r="B31" s="12">
        <v>10114</v>
      </c>
      <c r="C31" s="44">
        <f t="shared" si="0"/>
        <v>180</v>
      </c>
    </row>
    <row r="32" spans="1:14" ht="14.5" x14ac:dyDescent="0.35">
      <c r="A32" s="7">
        <v>10104</v>
      </c>
      <c r="B32" s="12">
        <v>10106</v>
      </c>
      <c r="C32" s="44">
        <f t="shared" si="0"/>
        <v>60</v>
      </c>
    </row>
    <row r="33" spans="1:3" ht="14.5" x14ac:dyDescent="0.35">
      <c r="A33" s="7">
        <v>10110</v>
      </c>
      <c r="B33" s="12">
        <v>10112</v>
      </c>
      <c r="C33" s="44">
        <f t="shared" si="0"/>
        <v>115</v>
      </c>
    </row>
    <row r="34" spans="1:3" ht="14.5" x14ac:dyDescent="0.35">
      <c r="A34" s="7">
        <v>10100</v>
      </c>
      <c r="B34" s="12">
        <v>10114</v>
      </c>
      <c r="C34" s="44">
        <f t="shared" si="0"/>
        <v>480</v>
      </c>
    </row>
    <row r="35" spans="1:3" ht="14.5" x14ac:dyDescent="0.35">
      <c r="A35" s="9">
        <v>10112</v>
      </c>
      <c r="B35" s="13">
        <v>10116</v>
      </c>
      <c r="C35" s="46">
        <f t="shared" si="0"/>
        <v>105</v>
      </c>
    </row>
  </sheetData>
  <mergeCells count="1">
    <mergeCell ref="B6:AA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Savani, Manisha</cp:lastModifiedBy>
  <dcterms:created xsi:type="dcterms:W3CDTF">2015-02-10T17:33:11Z</dcterms:created>
  <dcterms:modified xsi:type="dcterms:W3CDTF">2023-12-10T11:03:21Z</dcterms:modified>
</cp:coreProperties>
</file>